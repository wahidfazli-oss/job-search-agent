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16d8f36c464a0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ortlist" sheetId="1" r:id="Rdaaa7d88ff6e4b81"/>
    <x:sheet xmlns:r="http://schemas.openxmlformats.org/officeDocument/2006/relationships" name="All Jobs" sheetId="2" r:id="Rc3c9dd8040e2418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mm/dd/yy"/>
  </x:numFmts>
  <x:fonts count="8">
    <x:font>
      <x:sz val="11"/>
      <x:name val="Carlito"/>
    </x:font>
    <x:font>
      <x:sz val="10"/>
      <x:color rgb="FF1F2937"/>
      <x:name val="Arial"/>
    </x:font>
    <x:font>
      <x:b/>
      <x:sz val="14"/>
      <x:color rgb="FF17365D"/>
      <x:name val="Arial"/>
    </x:font>
    <x:font>
      <x:i/>
      <x:sz val="10"/>
      <x:color rgb="FF667085"/>
      <x:name val="Arial"/>
    </x:font>
    <x:font>
      <x:b/>
      <x:sz val="10"/>
      <x:color rgb="FF17365D"/>
      <x:name val="Arial"/>
    </x:font>
    <x:font>
      <x:b/>
      <x:sz val="14"/>
      <x:color rgb="FF1F4E78"/>
      <x:name val="Arial"/>
    </x:font>
    <x:font>
      <x:b/>
      <x:sz val="10"/>
      <x:color rgb="FFFFFFFF"/>
      <x:name val="Arial"/>
    </x:font>
    <x:font>
      <x:sz val="10"/>
      <x:color rgb="FF0563C1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EAF2F8"/>
      </x:patternFill>
    </x:fill>
    <x:fill>
      <x:patternFill patternType="solid">
        <x:fgColor rgb="FF1F4E78"/>
      </x:patternFill>
    </x:fill>
  </x:fills>
  <x:borders count="7">
    <x:border/>
    <x:border>
      <x:bottom style="thin">
        <x:color rgb="FFB4C7E7"/>
      </x:bottom>
    </x:border>
    <x:border>
      <x:left style="thin">
        <x:color rgb="FFB4C7E7"/>
      </x:left>
      <x:right style="thin">
        <x:color rgb="FFB4C7E7"/>
      </x:right>
      <x:top style="thin">
        <x:color rgb="FFB4C7E7"/>
      </x:top>
    </x:border>
    <x:border>
      <x:left style="thin">
        <x:color rgb="FFB4C7E7"/>
      </x:left>
      <x:right style="thin">
        <x:color rgb="FFB4C7E7"/>
      </x:right>
      <x:bottom style="thin">
        <x:color rgb="FFB4C7E7"/>
      </x:bottom>
    </x:border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</x:borders>
  <x:cellStyleXfs count="1">
    <x:xf numFmtId="0" fontId="0" fillId="0" borderId="0"/>
  </x:cellStyleXfs>
  <x:cellXfs count="4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2" xfId="0" applyNumberFormat="1" applyFont="1" applyFill="1" applyBorder="1"/>
    <x:xf numFmtId="0" fontId="4" fillId="2" borderId="3" xfId="0" applyNumberFormat="1" applyFont="1" applyFill="1" applyBorder="1"/>
    <x:xf numFmtId="0" fontId="4" fillId="2" borderId="2" xfId="0" applyNumberFormat="1" applyFont="1" applyFill="1" applyBorder="1" applyAlignment="1">
      <x:alignment horizontal="center"/>
    </x:xf>
    <x:xf numFmtId="0" fontId="4" fillId="2" borderId="3" xfId="0" applyNumberFormat="1" applyFont="1" applyFill="1" applyBorder="1" applyAlignment="1">
      <x:alignment horizontal="center"/>
    </x:xf>
    <x:xf numFmtId="0" fontId="4" fillId="2" borderId="2" xfId="0" applyNumberFormat="1" applyFont="1" applyFill="1" applyBorder="1" applyAlignment="1">
      <x:alignment horizontal="center" vertical="center"/>
    </x:xf>
    <x:xf numFmtId="0" fontId="4" fillId="2" borderId="3" xfId="0" applyNumberFormat="1" applyFont="1" applyFill="1" applyBorder="1" applyAlignment="1">
      <x:alignment horizontal="center" vertical="center"/>
    </x:xf>
    <x:xf numFmtId="0" fontId="5" fillId="2" borderId="3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/>
    <x:xf numFmtId="0" fontId="6" fillId="3" borderId="0" xfId="0" applyNumberFormat="1" applyFont="1" applyFill="1" applyBorder="1"/>
    <x:xf numFmtId="0" fontId="6" fillId="3" borderId="4" xfId="0" applyNumberFormat="1" applyFont="1" applyFill="1" applyBorder="1"/>
    <x:xf numFmtId="0" fontId="6" fillId="3" borderId="5" xfId="0" applyNumberFormat="1" applyFont="1" applyFill="1" applyBorder="1"/>
    <x:xf numFmtId="0" fontId="6" fillId="3" borderId="6" xfId="0" applyNumberFormat="1" applyFont="1" applyFill="1" applyBorder="1"/>
    <x:xf numFmtId="0" fontId="6" fillId="3" borderId="4" xfId="0" applyNumberFormat="1" applyFont="1" applyFill="1" applyBorder="1" applyAlignment="1">
      <x:alignment wrapText="1"/>
    </x:xf>
    <x:xf numFmtId="0" fontId="6" fillId="3" borderId="5" xfId="0" applyNumberFormat="1" applyFont="1" applyFill="1" applyBorder="1" applyAlignment="1">
      <x:alignment wrapText="1"/>
    </x:xf>
    <x:xf numFmtId="0" fontId="6" fillId="3" borderId="6" xfId="0" applyNumberFormat="1" applyFont="1" applyFill="1" applyBorder="1" applyAlignment="1">
      <x:alignment wrapText="1"/>
    </x:xf>
    <x:xf numFmtId="0" fontId="6" fillId="3" borderId="4" xfId="0" applyNumberFormat="1" applyFont="1" applyFill="1" applyBorder="1" applyAlignment="1">
      <x:alignment horizontal="center" wrapText="1"/>
    </x:xf>
    <x:xf numFmtId="0" fontId="6" fillId="3" borderId="5" xfId="0" applyNumberFormat="1" applyFont="1" applyFill="1" applyBorder="1" applyAlignment="1">
      <x:alignment horizontal="center" wrapText="1"/>
    </x:xf>
    <x:xf numFmtId="0" fontId="6" fillId="3" borderId="6" xfId="0" applyNumberFormat="1" applyFont="1" applyFill="1" applyBorder="1" applyAlignment="1">
      <x:alignment horizontal="center" wrapText="1"/>
    </x:xf>
    <x:xf numFmtId="0" fontId="6" fillId="3" borderId="4" xfId="0" applyNumberFormat="1" applyFont="1" applyFill="1" applyBorder="1" applyAlignment="1">
      <x:alignment horizontal="center" vertical="center" wrapText="1"/>
    </x:xf>
    <x:xf numFmtId="0" fontId="6" fillId="3" borderId="5" xfId="0" applyNumberFormat="1" applyFont="1" applyFill="1" applyBorder="1" applyAlignment="1">
      <x:alignment horizontal="center" vertical="center" wrapText="1"/>
    </x:xf>
    <x:xf numFmtId="0" fontId="6" fillId="3" borderId="6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vertical="top"/>
    </x:xf>
    <x:xf numFmtId="201" fontId="1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horizontal="center" vertical="top"/>
    </x:xf>
    <x:xf numFmtId="200" fontId="1" fillId="0" borderId="0" xfId="0" applyNumberFormat="1" applyFont="1" applyFill="1" applyBorder="1" applyAlignment="1">
      <x:alignment horizontal="center" vertical="top"/>
    </x:xf>
    <x:xf numFmtId="201" fontId="1" fillId="0" borderId="0" xfId="0" applyNumberFormat="1" applyFont="1" applyFill="1" applyBorder="1" applyAlignment="1">
      <x:alignment horizontal="center" vertical="top"/>
    </x:xf>
    <x:xf numFmtId="0" fontId="7" fillId="0" borderId="0" xfId="0" applyNumberFormat="1" applyFont="1" applyFill="1" applyBorder="1" applyAlignment="1">
      <x:alignment vertical="top"/>
    </x:xf>
    <x:xf numFmtId="0" fontId="7" fillId="0" borderId="0" xfId="0" applyNumberFormat="1" applyFont="1" applyFill="1" applyBorder="1" applyAlignment="1">
      <x:alignment horizontal="center" vertical="top"/>
    </x:xf>
    <x:xf numFmtId="0" fontId="7" fillId="0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top" wrapText="0"/>
    </x:xf>
    <x:xf numFmtId="0" fontId="7" fillId="0" borderId="0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 applyAlignment="1">
      <x:alignment horizontal="left" vertical="center" wrapText="1"/>
    </x:xf>
    <x:xf numFmtId="0" fontId="7" fillId="0" borderId="0" xfId="0" applyNumberFormat="1" applyFont="1" applyFill="1" applyBorder="1" applyAlignment="1">
      <x:alignment horizontal="left" vertical="top" wrapText="1"/>
    </x:xf>
  </x:cellXfs>
  <x:cellStyles count="1">
    <x:cellStyle name="Normal" xfId="0"/>
  </x:cellStyles>
  <x:dxfs count="8"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1F4E78"/>
      </x:font>
      <x:fill>
        <x:patternFill>
          <x:bgColor rgb="FFDDEBF7"/>
        </x:patternFill>
      </x:fill>
    </x:dxf>
    <x:dxf>
      <x:font>
        <x:b/>
        <x:color rgb="FFC00000"/>
      </x:font>
      <x:fill>
        <x:patternFill>
          <x:bgColor rgb="FFFCE4D6"/>
        </x:patternFill>
      </x:fill>
    </x:dxf>
    <x:dxf>
      <x:font>
        <x:b/>
        <x:color rgb="FF1F4E78"/>
      </x:font>
      <x:fill>
        <x:patternFill>
          <x:bgColor rgb="FFDDEBF7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1abf7c56ed842b3" /><Relationship Type="http://schemas.openxmlformats.org/officeDocument/2006/relationships/theme" Target="/xl/theme/theme1.xml" Id="R4d03a164ef994494" /><Relationship Type="http://schemas.openxmlformats.org/officeDocument/2006/relationships/sharedStrings" Target="/xl/sharedStrings.xml" Id="R47ffe6b488b84742" /><Relationship Type="http://schemas.openxmlformats.org/officeDocument/2006/relationships/worksheet" Target="/xl/worksheets/sheet1.xml" Id="Rdaaa7d88ff6e4b81" /><Relationship Type="http://schemas.openxmlformats.org/officeDocument/2006/relationships/worksheet" Target="/xl/worksheets/sheet2.xml" Id="Rc3c9dd8040e2418a" /></Relationships>
</file>

<file path=xl/tables/table1.xml><?xml version="1.0" encoding="utf-8"?>
<x:table xmlns:x="http://schemas.openxmlformats.org/spreadsheetml/2006/main" id="1" name="ShortlistTable" displayName="ShortlistTable" ref="A9:O16" headerRowCount="1" totalsRowCount="0" totalsRowShown="0">
  <x:autoFilter ref="A9:O16"/>
  <x:tableColumns count="15">
    <x:tableColumn id="1" name="Rank"/>
    <x:tableColumn id="2" name="Company"/>
    <x:tableColumn id="3" name="Title"/>
    <x:tableColumn id="4" name="Location"/>
    <x:tableColumn id="5" name="Score"/>
    <x:tableColumn id="6" name="Action"/>
    <x:tableColumn id="7" name="Posted"/>
    <x:tableColumn id="8" name="Base salary / compensation"/>
    <x:tableColumn id="9" name="Status"/>
    <x:tableColumn id="10" name="Verification"/>
    <x:tableColumn id="11" name="Apply"/>
    <x:tableColumn id="12" name="Why it fits"/>
    <x:tableColumn id="13" name="Gaps / unknowns"/>
    <x:tableColumn id="14" name="Discovery source"/>
    <x:tableColumn id="15" name="Requisition ID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llJobsTable" displayName="AllJobsTable" ref="A1:U10" headerRowCount="1" totalsRowCount="0" totalsRowShown="0">
  <x:autoFilter ref="A1:U10"/>
  <x:tableColumns count="21">
    <x:tableColumn id="1" name="candidate_id"/>
    <x:tableColumn id="2" name="company"/>
    <x:tableColumn id="3" name="title"/>
    <x:tableColumn id="4" name="location"/>
    <x:tableColumn id="5" name="work_arrangement"/>
    <x:tableColumn id="6" name="application_url"/>
    <x:tableColumn id="7" name="source_url"/>
    <x:tableColumn id="8" name="posted_date"/>
    <x:tableColumn id="9" name="date_checked"/>
    <x:tableColumn id="10" name="salary_stated"/>
    <x:tableColumn id="11" name="score"/>
    <x:tableColumn id="12" name="score_confidence"/>
    <x:tableColumn id="13" name="match_reasons"/>
    <x:tableColumn id="14" name="gaps_or_unknowns"/>
    <x:tableColumn id="15" name="recommended_action"/>
    <x:tableColumn id="16" name="status"/>
    <x:tableColumn id="17" name="notes"/>
    <x:tableColumn id="18" name="discovery_source"/>
    <x:tableColumn id="19" name="verification_status"/>
    <x:tableColumn id="20" name="last_verified_date"/>
    <x:tableColumn id="21" name="requisition_i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37e0fe00c624ac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28135e376a84c71" /></Relationships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xSplit="4" ySplit="9" topLeftCell="E10" activePane="bottomRight" state="frozen"/>
    </x:sheetView>
  </x:sheetViews>
  <x:sheetFormatPr defaultRowHeight="15"/>
  <x:cols>
    <x:col min="1" max="1" width="7" hidden="0" customWidth="1"/>
    <x:col min="2" max="2" width="18" hidden="0" customWidth="1"/>
    <x:col min="3" max="3" width="36" hidden="0" customWidth="1"/>
    <x:col min="4" max="4" width="18" hidden="0" customWidth="1"/>
    <x:col min="5" max="5" width="8" hidden="0" customWidth="1"/>
    <x:col min="6" max="6" width="13" hidden="0" customWidth="1"/>
    <x:col min="7" max="7" width="12" hidden="0" customWidth="1"/>
    <x:col min="8" max="8" width="28" hidden="0" customWidth="1"/>
    <x:col min="9" max="9" width="12" hidden="0" customWidth="1"/>
    <x:col min="10" max="10" width="24" hidden="0" customWidth="1"/>
    <x:col min="11" max="11" width="34" hidden="0" customWidth="1"/>
    <x:col min="12" max="12" width="46" hidden="0" customWidth="1"/>
    <x:col min="13" max="13" width="46" hidden="0" customWidth="1"/>
    <x:col min="14" max="14" width="18" hidden="0" customWidth="1"/>
    <x:col min="15" max="15" width="18" hidden="0" customWidth="1"/>
  </x:cols>
  <x:sheetData>
    <x:row r="1" ht="8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</x:row>
    <x:row r="2" ht="24" customHeight="1">
      <x:c r="A2" s="2" t="str">
        <x:v>Executive job shortlist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</x:row>
    <x:row r="3">
      <x:c r="A3" s="4" t="str">
        <x:v>Active, employer-verified opportunities. Full sourcing and verification history is on All Jobs.</x:v>
      </x:c>
      <x:c r="B3" s="5"/>
      <x:c r="C3" s="5"/>
      <x:c r="D3" s="5"/>
      <x:c r="E3" s="5"/>
      <x:c r="F3" s="5"/>
      <x:c r="G3" s="5"/>
      <x:c r="H3" s="5"/>
      <x:c r="I3" s="5"/>
      <x:c r="J3" s="5"/>
      <x:c r="K3" s="5"/>
      <x:c r="L3" s="5"/>
      <x:c r="M3" s="5"/>
      <x:c r="N3" s="5"/>
      <x:c r="O3" s="5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</x:row>
    <x:row r="5">
      <x:c r="A5" s="12" t="str">
        <x:v>Active roles</x:v>
      </x:c>
      <x:c r="B5" s="1" t="str"/>
      <x:c r="C5" s="12" t="str">
        <x:v>Priority (85+)</x:v>
      </x:c>
      <x:c r="D5" s="1" t="str"/>
      <x:c r="E5" s="12" t="str">
        <x:v>Review (70-84)</x:v>
      </x:c>
      <x:c r="F5" s="1" t="str"/>
      <x:c r="G5" s="12" t="str">
        <x:v>Expired</x:v>
      </x:c>
      <x:c r="H5" s="1" t="str"/>
      <x:c r="I5" s="1"/>
      <x:c r="J5" s="1"/>
      <x:c r="K5" s="1"/>
      <x:c r="L5" s="1"/>
      <x:c r="M5" s="1"/>
      <x:c r="N5" s="1"/>
      <x:c r="O5" s="1"/>
    </x:row>
    <x:row r="6">
      <x:c r="A6" s="14" t="n">
        <x:f>COUNTA(B10:B1000)</x:f>
        <x:v>0</x:v>
      </x:c>
      <x:c r="B6" s="1"/>
      <x:c r="C6" s="14" t="n">
        <x:f>COUNTIF(E10:E1000,"&gt;=85")</x:f>
        <x:v>0</x:v>
      </x:c>
      <x:c r="D6" s="1"/>
      <x:c r="E6" s="14" t="n">
        <x:f>COUNTIFS(E10:E1000,"&gt;=70",E10:E1000,"&lt;85")</x:f>
        <x:v>0</x:v>
      </x:c>
      <x:c r="F6" s="1"/>
      <x:c r="G6" s="14" t="n">
        <x:f>COUNTIF('All Jobs'!P2:P1000,"Expired")</x:f>
        <x:v>0</x:v>
      </x:c>
      <x:c r="H6" s="1"/>
      <x:c r="I6" s="1"/>
      <x:c r="J6" s="1"/>
      <x:c r="K6" s="1"/>
      <x:c r="L6" s="1"/>
      <x:c r="M6" s="1"/>
      <x:c r="N6" s="1"/>
      <x:c r="O6" s="1"/>
    </x:row>
    <x:row r="7">
      <x:c r="A7" s="1"/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</x:row>
    <x:row r="8">
      <x:c r="A8" s="1"/>
      <x:c r="B8" s="1"/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</x:row>
    <x:row r="9" ht="32" customHeight="1">
      <x:c r="A9" s="26" t="str">
        <x:v>Rank</x:v>
      </x:c>
      <x:c r="B9" s="27" t="str">
        <x:v>Company</x:v>
      </x:c>
      <x:c r="C9" s="27" t="str">
        <x:v>Title</x:v>
      </x:c>
      <x:c r="D9" s="27" t="str">
        <x:v>Location</x:v>
      </x:c>
      <x:c r="E9" s="27" t="str">
        <x:v>Score</x:v>
      </x:c>
      <x:c r="F9" s="27" t="str">
        <x:v>Action</x:v>
      </x:c>
      <x:c r="G9" s="27" t="str">
        <x:v>Posted</x:v>
      </x:c>
      <x:c r="H9" s="27" t="str">
        <x:v>Base salary / compensation</x:v>
      </x:c>
      <x:c r="I9" s="27" t="str">
        <x:v>Status</x:v>
      </x:c>
      <x:c r="J9" s="27" t="str">
        <x:v>Verification</x:v>
      </x:c>
      <x:c r="K9" s="27" t="str">
        <x:v>Apply</x:v>
      </x:c>
      <x:c r="L9" s="27" t="str">
        <x:v>Why it fits</x:v>
      </x:c>
      <x:c r="M9" s="27" t="str">
        <x:v>Gaps / unknowns</x:v>
      </x:c>
      <x:c r="N9" s="27" t="str">
        <x:v>Discovery source</x:v>
      </x:c>
      <x:c r="O9" s="28" t="str">
        <x:v>Requisition ID</x:v>
      </x:c>
    </x:row>
    <x:row r="10" ht="54" customHeight="1">
      <x:c r="A10" s="33"/>
      <x:c r="B10" s="29"/>
      <x:c r="C10" s="30"/>
      <x:c r="D10" s="29"/>
      <x:c r="E10" s="34"/>
      <x:c r="F10" s="33"/>
      <x:c r="G10" s="35"/>
      <x:c r="H10" s="30"/>
      <x:c r="I10" s="30"/>
      <x:c r="J10" s="30"/>
      <x:c r="K10" s="42"/>
      <x:c r="L10" s="30"/>
      <x:c r="M10" s="30"/>
      <x:c r="N10" s="29"/>
      <x:c r="O10" s="29"/>
    </x:row>
    <x:row r="11" ht="54" customHeight="1">
      <x:c r="A11" s="33"/>
      <x:c r="B11" s="29"/>
      <x:c r="C11" s="30"/>
      <x:c r="D11" s="29"/>
      <x:c r="E11" s="34"/>
      <x:c r="F11" s="33"/>
      <x:c r="G11" s="35"/>
      <x:c r="H11" s="30"/>
      <x:c r="I11" s="30"/>
      <x:c r="J11" s="30"/>
      <x:c r="K11" s="42"/>
      <x:c r="L11" s="30"/>
      <x:c r="M11" s="30"/>
      <x:c r="N11" s="29"/>
      <x:c r="O11" s="29"/>
    </x:row>
    <x:row r="12" ht="54" customHeight="1">
      <x:c r="A12" s="33"/>
      <x:c r="B12" s="29"/>
      <x:c r="C12" s="30"/>
      <x:c r="D12" s="29"/>
      <x:c r="E12" s="34"/>
      <x:c r="F12" s="33"/>
      <x:c r="G12" s="35"/>
      <x:c r="H12" s="30"/>
      <x:c r="I12" s="30"/>
      <x:c r="J12" s="30"/>
      <x:c r="K12" s="42"/>
      <x:c r="L12" s="30"/>
      <x:c r="M12" s="30"/>
      <x:c r="N12" s="29"/>
      <x:c r="O12" s="29"/>
    </x:row>
    <x:row r="13" ht="54" customHeight="1">
      <x:c r="A13" s="33"/>
      <x:c r="B13" s="29"/>
      <x:c r="C13" s="30"/>
      <x:c r="D13" s="29"/>
      <x:c r="E13" s="34"/>
      <x:c r="F13" s="33"/>
      <x:c r="G13" s="35"/>
      <x:c r="H13" s="30"/>
      <x:c r="I13" s="30"/>
      <x:c r="J13" s="30"/>
      <x:c r="K13" s="42"/>
      <x:c r="L13" s="30"/>
      <x:c r="M13" s="30"/>
      <x:c r="N13" s="29"/>
      <x:c r="O13" s="29"/>
    </x:row>
    <x:row r="14" ht="54" customHeight="1">
      <x:c r="A14" s="33"/>
      <x:c r="B14" s="29"/>
      <x:c r="C14" s="30"/>
      <x:c r="D14" s="29"/>
      <x:c r="E14" s="34"/>
      <x:c r="F14" s="33"/>
      <x:c r="G14" s="35"/>
      <x:c r="H14" s="30"/>
      <x:c r="I14" s="30"/>
      <x:c r="J14" s="30"/>
      <x:c r="K14" s="42"/>
      <x:c r="L14" s="30"/>
      <x:c r="M14" s="30"/>
      <x:c r="N14" s="29"/>
      <x:c r="O14" s="29"/>
    </x:row>
    <x:row r="15" ht="54" customHeight="1">
      <x:c r="A15" s="33"/>
      <x:c r="B15" s="29"/>
      <x:c r="C15" s="30"/>
      <x:c r="D15" s="29"/>
      <x:c r="E15" s="34"/>
      <x:c r="F15" s="33"/>
      <x:c r="G15" s="35"/>
      <x:c r="H15" s="30"/>
      <x:c r="I15" s="30"/>
      <x:c r="J15" s="30"/>
      <x:c r="K15" s="42"/>
      <x:c r="L15" s="30"/>
      <x:c r="M15" s="30"/>
      <x:c r="N15" s="29"/>
      <x:c r="O15" s="29"/>
    </x:row>
    <x:row r="16" ht="54" customHeight="1">
      <x:c r="A16" s="33"/>
      <x:c r="B16" s="29"/>
      <x:c r="C16" s="30"/>
      <x:c r="D16" s="29"/>
      <x:c r="E16" s="34"/>
      <x:c r="F16" s="33"/>
      <x:c r="G16" s="35"/>
      <x:c r="H16" s="30"/>
      <x:c r="I16" s="30"/>
      <x:c r="J16" s="30"/>
      <x:c r="K16" s="42"/>
      <x:c r="L16" s="30"/>
      <x:c r="M16" s="30"/>
      <x:c r="N16" s="29"/>
      <x:c r="O16" s="29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</x:row>
  </x:sheetData>
  <x:conditionalFormatting sqref="E10:E1000">
    <x:cfRule type="cellIs" dxfId="0" priority="1" operator="greaterThanOrEqual">
      <x:formula>85</x:formula>
    </x:cfRule>
    <x:cfRule type="cellIs" dxfId="1" priority="2" operator="between">
      <x:formula>70</x:formula>
      <x:formula>84</x:formula>
    </x:cfRule>
  </x:conditionalFormatting>
  <x:conditionalFormatting sqref="F10:F1000">
    <x:cfRule type="containsText" dxfId="2" priority="3" operator="containsText" text="Prioritize"/>
    <x:cfRule type="containsText" dxfId="3" priority="4" operator="containsText" text="Review"/>
  </x:conditionalFormatting>
  <x:conditionalFormatting sqref="I10:I1000">
    <x:cfRule type="containsText" dxfId="4" priority="5" operator="containsText" text="New"/>
  </x:conditionalFormatting>
  <x:pageMargins left="0.7" right="0.7" top="0.75" bottom="0.75" header="0.3" footer="0.3"/>
  <x:tableParts count="1">
    <x:tablePart xmlns:r="http://schemas.openxmlformats.org/officeDocument/2006/relationships" r:id="Ra37e0fe00c624acb"/>
  </x:tableParts>
</x:worksheet>
</file>

<file path=xl/worksheets/sheet2.xml><?xml version="1.0" encoding="utf-8"?>
<x:worksheet xmlns:x="http://schemas.openxmlformats.org/spreadsheetml/2006/main">
  <x:sheetPr>
    <x:tabColor rgb="FF5B9BD5"/>
  </x:sheetPr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16" hidden="0" customWidth="1"/>
    <x:col min="2" max="2" width="18" hidden="0" customWidth="1"/>
    <x:col min="3" max="3" width="38" hidden="0" customWidth="1"/>
    <x:col min="4" max="4" width="20" hidden="0" customWidth="1"/>
    <x:col min="5" max="5" width="20" hidden="0" customWidth="1"/>
    <x:col min="6" max="6" width="38" hidden="0" customWidth="1"/>
    <x:col min="7" max="7" width="38" hidden="0" customWidth="1"/>
    <x:col min="8" max="8" width="13" hidden="0" customWidth="1"/>
    <x:col min="9" max="9" width="13" hidden="0" customWidth="1"/>
    <x:col min="10" max="10" width="30" hidden="0" customWidth="1"/>
    <x:col min="11" max="11" width="9" hidden="0" customWidth="1"/>
    <x:col min="12" max="12" width="14" hidden="0" customWidth="1"/>
    <x:col min="13" max="13" width="48" hidden="0" customWidth="1"/>
    <x:col min="14" max="14" width="48" hidden="0" customWidth="1"/>
    <x:col min="15" max="15" width="16" hidden="0" customWidth="1"/>
    <x:col min="16" max="16" width="13" hidden="0" customWidth="1"/>
    <x:col min="17" max="17" width="44" hidden="0" customWidth="1"/>
    <x:col min="18" max="18" width="20" hidden="0" customWidth="1"/>
    <x:col min="19" max="19" width="26" hidden="0" customWidth="1"/>
    <x:col min="20" max="20" width="14" hidden="0" customWidth="1"/>
    <x:col min="21" max="21" width="18" hidden="0" customWidth="1"/>
  </x:cols>
  <x:sheetData>
    <x:row r="1" ht="34" customHeight="1">
      <x:c r="A1" s="26" t="str">
        <x:v>candidate_id</x:v>
      </x:c>
      <x:c r="B1" s="27" t="str">
        <x:v>company</x:v>
      </x:c>
      <x:c r="C1" s="27" t="str">
        <x:v>title</x:v>
      </x:c>
      <x:c r="D1" s="27" t="str">
        <x:v>location</x:v>
      </x:c>
      <x:c r="E1" s="27" t="str">
        <x:v>work_arrangement</x:v>
      </x:c>
      <x:c r="F1" s="27" t="str">
        <x:v>application_url</x:v>
      </x:c>
      <x:c r="G1" s="27" t="str">
        <x:v>source_url</x:v>
      </x:c>
      <x:c r="H1" s="27" t="str">
        <x:v>posted_date</x:v>
      </x:c>
      <x:c r="I1" s="27" t="str">
        <x:v>date_checked</x:v>
      </x:c>
      <x:c r="J1" s="27" t="str">
        <x:v>salary_stated</x:v>
      </x:c>
      <x:c r="K1" s="27" t="str">
        <x:v>score</x:v>
      </x:c>
      <x:c r="L1" s="27" t="str">
        <x:v>score_confidence</x:v>
      </x:c>
      <x:c r="M1" s="27" t="str">
        <x:v>match_reasons</x:v>
      </x:c>
      <x:c r="N1" s="27" t="str">
        <x:v>gaps_or_unknowns</x:v>
      </x:c>
      <x:c r="O1" s="27" t="str">
        <x:v>recommended_action</x:v>
      </x:c>
      <x:c r="P1" s="27" t="str">
        <x:v>status</x:v>
      </x:c>
      <x:c r="Q1" s="27" t="str">
        <x:v>notes</x:v>
      </x:c>
      <x:c r="R1" s="27" t="str">
        <x:v>discovery_source</x:v>
      </x:c>
      <x:c r="S1" s="27" t="str">
        <x:v>verification_status</x:v>
      </x:c>
      <x:c r="T1" s="27" t="str">
        <x:v>last_verified_date</x:v>
      </x:c>
      <x:c r="U1" s="28" t="str">
        <x:v>requisition_id</x:v>
      </x:c>
    </x:row>
    <x:row r="2" ht="52" customHeight="1">
      <x:c r="A2" s="29"/>
      <x:c r="B2" s="29"/>
      <x:c r="C2" s="30"/>
      <x:c r="D2" s="30"/>
      <x:c r="E2" s="30"/>
      <x:c r="F2" s="39"/>
      <x:c r="G2" s="39"/>
      <x:c r="H2" s="32"/>
      <x:c r="I2" s="32"/>
      <x:c r="J2" s="30"/>
      <x:c r="K2" s="31"/>
      <x:c r="L2" s="29"/>
      <x:c r="M2" s="30"/>
      <x:c r="N2" s="30"/>
      <x:c r="O2" s="30"/>
      <x:c r="P2" s="30"/>
      <x:c r="Q2" s="30"/>
      <x:c r="R2" s="30"/>
      <x:c r="S2" s="30"/>
      <x:c r="T2" s="32"/>
      <x:c r="U2" s="29"/>
    </x:row>
    <x:row r="3" ht="52" customHeight="1">
      <x:c r="A3" s="29"/>
      <x:c r="B3" s="29"/>
      <x:c r="C3" s="30"/>
      <x:c r="D3" s="30"/>
      <x:c r="E3" s="30"/>
      <x:c r="F3" s="39"/>
      <x:c r="G3" s="39"/>
      <x:c r="H3" s="32"/>
      <x:c r="I3" s="32"/>
      <x:c r="J3" s="30"/>
      <x:c r="K3" s="31"/>
      <x:c r="L3" s="29"/>
      <x:c r="M3" s="30"/>
      <x:c r="N3" s="30"/>
      <x:c r="O3" s="30"/>
      <x:c r="P3" s="30"/>
      <x:c r="Q3" s="30"/>
      <x:c r="R3" s="30"/>
      <x:c r="S3" s="30"/>
      <x:c r="T3" s="32"/>
      <x:c r="U3" s="29"/>
    </x:row>
    <x:row r="4" ht="52" customHeight="1">
      <x:c r="A4" s="29"/>
      <x:c r="B4" s="29"/>
      <x:c r="C4" s="30"/>
      <x:c r="D4" s="30"/>
      <x:c r="E4" s="30"/>
      <x:c r="F4" s="39"/>
      <x:c r="G4" s="39"/>
      <x:c r="H4" s="32"/>
      <x:c r="I4" s="32"/>
      <x:c r="J4" s="30"/>
      <x:c r="K4" s="31"/>
      <x:c r="L4" s="29"/>
      <x:c r="M4" s="30"/>
      <x:c r="N4" s="30"/>
      <x:c r="O4" s="30"/>
      <x:c r="P4" s="30"/>
      <x:c r="Q4" s="30"/>
      <x:c r="R4" s="30"/>
      <x:c r="S4" s="30"/>
      <x:c r="T4" s="32"/>
      <x:c r="U4" s="29"/>
    </x:row>
    <x:row r="5" ht="52" customHeight="1">
      <x:c r="A5" s="29"/>
      <x:c r="B5" s="29"/>
      <x:c r="C5" s="30"/>
      <x:c r="D5" s="30"/>
      <x:c r="E5" s="30"/>
      <x:c r="F5" s="39"/>
      <x:c r="G5" s="39"/>
      <x:c r="H5" s="32"/>
      <x:c r="I5" s="32"/>
      <x:c r="J5" s="30"/>
      <x:c r="K5" s="31"/>
      <x:c r="L5" s="29"/>
      <x:c r="M5" s="30"/>
      <x:c r="N5" s="30"/>
      <x:c r="O5" s="30"/>
      <x:c r="P5" s="30"/>
      <x:c r="Q5" s="30"/>
      <x:c r="R5" s="30"/>
      <x:c r="S5" s="30"/>
      <x:c r="T5" s="32"/>
      <x:c r="U5" s="29"/>
    </x:row>
    <x:row r="6" ht="52" customHeight="1">
      <x:c r="A6" s="29"/>
      <x:c r="B6" s="29"/>
      <x:c r="C6" s="30"/>
      <x:c r="D6" s="30"/>
      <x:c r="E6" s="30"/>
      <x:c r="F6" s="39"/>
      <x:c r="G6" s="39"/>
      <x:c r="H6" s="32"/>
      <x:c r="I6" s="32"/>
      <x:c r="J6" s="30"/>
      <x:c r="K6" s="31"/>
      <x:c r="L6" s="29"/>
      <x:c r="M6" s="30"/>
      <x:c r="N6" s="30"/>
      <x:c r="O6" s="30"/>
      <x:c r="P6" s="30"/>
      <x:c r="Q6" s="30"/>
      <x:c r="R6" s="30"/>
      <x:c r="S6" s="30"/>
      <x:c r="T6" s="32"/>
      <x:c r="U6" s="29"/>
    </x:row>
    <x:row r="7" ht="52" customHeight="1">
      <x:c r="A7" s="29"/>
      <x:c r="B7" s="29"/>
      <x:c r="C7" s="30"/>
      <x:c r="D7" s="30"/>
      <x:c r="E7" s="30"/>
      <x:c r="F7" s="39"/>
      <x:c r="G7" s="39"/>
      <x:c r="H7" s="32"/>
      <x:c r="I7" s="32"/>
      <x:c r="J7" s="30"/>
      <x:c r="K7" s="31"/>
      <x:c r="L7" s="29"/>
      <x:c r="M7" s="30"/>
      <x:c r="N7" s="30"/>
      <x:c r="O7" s="30"/>
      <x:c r="P7" s="30"/>
      <x:c r="Q7" s="30"/>
      <x:c r="R7" s="30"/>
      <x:c r="S7" s="30"/>
      <x:c r="T7" s="32"/>
      <x:c r="U7" s="29"/>
    </x:row>
    <x:row r="8" ht="52" customHeight="1">
      <x:c r="A8" s="29"/>
      <x:c r="B8" s="29"/>
      <x:c r="C8" s="30"/>
      <x:c r="D8" s="30"/>
      <x:c r="E8" s="30"/>
      <x:c r="F8" s="39"/>
      <x:c r="G8" s="39"/>
      <x:c r="H8" s="32"/>
      <x:c r="I8" s="32"/>
      <x:c r="J8" s="30"/>
      <x:c r="K8" s="31"/>
      <x:c r="L8" s="29"/>
      <x:c r="M8" s="30"/>
      <x:c r="N8" s="30"/>
      <x:c r="O8" s="30"/>
      <x:c r="P8" s="30"/>
      <x:c r="Q8" s="30"/>
      <x:c r="R8" s="30"/>
      <x:c r="S8" s="30"/>
      <x:c r="T8" s="32"/>
      <x:c r="U8" s="29"/>
    </x:row>
    <x:row r="9" ht="52" customHeight="1">
      <x:c r="A9" s="29"/>
      <x:c r="B9" s="29"/>
      <x:c r="C9" s="30"/>
      <x:c r="D9" s="30"/>
      <x:c r="E9" s="30"/>
      <x:c r="F9" s="39"/>
      <x:c r="G9" s="39"/>
      <x:c r="H9" s="32"/>
      <x:c r="I9" s="32"/>
      <x:c r="J9" s="30"/>
      <x:c r="K9" s="31"/>
      <x:c r="L9" s="29"/>
      <x:c r="M9" s="30"/>
      <x:c r="N9" s="30"/>
      <x:c r="O9" s="30"/>
      <x:c r="P9" s="30"/>
      <x:c r="Q9" s="30"/>
      <x:c r="R9" s="30"/>
      <x:c r="S9" s="30"/>
      <x:c r="T9" s="32"/>
      <x:c r="U9" s="29"/>
    </x:row>
    <x:row r="10" ht="52" customHeight="1">
      <x:c r="A10" s="29"/>
      <x:c r="B10" s="29"/>
      <x:c r="C10" s="30"/>
      <x:c r="D10" s="30"/>
      <x:c r="E10" s="30"/>
      <x:c r="F10" s="39"/>
      <x:c r="G10" s="39"/>
      <x:c r="H10" s="32"/>
      <x:c r="I10" s="32"/>
      <x:c r="J10" s="30"/>
      <x:c r="K10" s="31"/>
      <x:c r="L10" s="29"/>
      <x:c r="M10" s="30"/>
      <x:c r="N10" s="30"/>
      <x:c r="O10" s="30"/>
      <x:c r="P10" s="30"/>
      <x:c r="Q10" s="30"/>
      <x:c r="R10" s="30"/>
      <x:c r="S10" s="30"/>
      <x:c r="T10" s="32"/>
      <x:c r="U10" s="29"/>
    </x:row>
  </x:sheetData>
  <x:conditionalFormatting sqref="P2:P1000">
    <x:cfRule type="containsText" dxfId="5" priority="1" operator="containsText" text="Expired"/>
    <x:cfRule type="containsText" dxfId="6" priority="2" operator="containsText" text="New"/>
  </x:conditionalFormatting>
  <x:conditionalFormatting sqref="K2:K1000">
    <x:cfRule type="cellIs" dxfId="7" priority="3" operator="greaterThanOrEqual">
      <x:formula>85</x:formula>
    </x:cfRule>
  </x:conditionalFormatting>
  <x:dataValidations count="1">
    <x:dataValidation type="list" sqref="P2:P1000">
      <x:formula1>"New,Reviewing,Interested,Applied,Interviewing,Expired,Closed,Rejected"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28135e376a84c71"/>
  </x:tableParts>
</x:worksheet>
</file>